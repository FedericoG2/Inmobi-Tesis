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8_{F0E99E70-CC7C-4357-B4CD-50A1A73F4E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van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G27" i="1"/>
  <c r="F24" i="1"/>
  <c r="F23" i="1"/>
  <c r="F22" i="1"/>
  <c r="F21" i="1"/>
  <c r="F20" i="1"/>
  <c r="F19" i="1"/>
  <c r="G10" i="1"/>
  <c r="F9" i="1"/>
  <c r="F8" i="1"/>
  <c r="F6" i="1"/>
  <c r="F5" i="1"/>
  <c r="F7" i="1"/>
  <c r="F4" i="1"/>
  <c r="H4" i="1" l="1"/>
  <c r="H5" i="1"/>
  <c r="I5" i="1" s="1"/>
  <c r="H9" i="1"/>
  <c r="I9" i="1" s="1"/>
  <c r="H8" i="1"/>
  <c r="I8" i="1" s="1"/>
  <c r="H7" i="1"/>
  <c r="I7" i="1" s="1"/>
  <c r="H6" i="1"/>
  <c r="I6" i="1" s="1"/>
  <c r="I4" i="1"/>
  <c r="I12" i="1" s="1"/>
  <c r="H10" i="1" l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tc={0BEA9393-63B7-4C03-9F54-34A5D462A1DE}</author>
    <author>tc={3A160467-D454-4B7B-BFB7-5DE89988FB09}</author>
  </authors>
  <commentList>
    <comment ref="H10" authorId="0" shapeId="0" xr:uid="{0BEA9393-63B7-4C03-9F54-34A5D462A1DE}">
      <text>
        <t>[Threaded comment]
Your version of Excel allows you to read this threaded comment; however, any edits to it will get removed if the file is opened in a newer version of Excel. Learn more: https://go.microsoft.com/fwlink/?linkid=870924
Comment:
    Verificar que la suma total de todos los registro es igual a 1.</t>
      </text>
    </comment>
    <comment ref="H27" authorId="1" shapeId="0" xr:uid="{3A160467-D454-4B7B-BFB7-5DE89988FB09}">
      <text>
        <t>[Threaded comment]
Your version of Excel allows you to read this threaded comment; however, any edits to it will get removed if the file is opened in a newer version of Excel. Learn more: https://go.microsoft.com/fwlink/?linkid=870924
Comment:
    Verificar que la suma total de todos los registro es igual a 1.</t>
      </text>
    </comment>
  </commentList>
</comments>
</file>

<file path=xl/sharedStrings.xml><?xml version="1.0" encoding="utf-8"?>
<sst xmlns="http://schemas.openxmlformats.org/spreadsheetml/2006/main" count="60" uniqueCount="42">
  <si>
    <t>Avance Proyecto (regularización)</t>
  </si>
  <si>
    <t>Etapas</t>
  </si>
  <si>
    <t>CU Críticos</t>
  </si>
  <si>
    <t>Analisis 
(20%)</t>
  </si>
  <si>
    <t>Diseño 
(25%)</t>
  </si>
  <si>
    <t>Implementación 
(50%)</t>
  </si>
  <si>
    <t>Validación 
(5%)</t>
  </si>
  <si>
    <t>% Avance (sum Etapas)</t>
  </si>
  <si>
    <t>Complejidad</t>
  </si>
  <si>
    <t>Peso Relativo (Sum total Complejidad / Complejidad ind.)</t>
  </si>
  <si>
    <t>% Avance Real</t>
  </si>
  <si>
    <t>CU-001</t>
  </si>
  <si>
    <t>CU-002</t>
  </si>
  <si>
    <t>CU-003</t>
  </si>
  <si>
    <t>CU-004</t>
  </si>
  <si>
    <t>CU-005</t>
  </si>
  <si>
    <t>CU-006</t>
  </si>
  <si>
    <t>% Avance Proyecto</t>
  </si>
  <si>
    <t>Etapas/Estado del CU</t>
  </si>
  <si>
    <t>Descripción</t>
  </si>
  <si>
    <t>Análisis completado</t>
  </si>
  <si>
    <t>Caso de uso modelado y validado</t>
  </si>
  <si>
    <t>Diseño completado</t>
  </si>
  <si>
    <t>Clases, secuencia, BD definidas</t>
  </si>
  <si>
    <t>Avance Proyecto</t>
  </si>
  <si>
    <t>Implementado</t>
  </si>
  <si>
    <t>Código funcional y probado</t>
  </si>
  <si>
    <t>Validado (pruebas exitosas)</t>
  </si>
  <si>
    <t>CU completo y validado con usuario/docente</t>
  </si>
  <si>
    <t>CU (todos)</t>
  </si>
  <si>
    <t>Nivel</t>
  </si>
  <si>
    <t>Ejemplo</t>
  </si>
  <si>
    <t>Muy simple (consulta, ABM básico)</t>
  </si>
  <si>
    <t>Consultar stock</t>
  </si>
  <si>
    <t>Simple con lógica media</t>
  </si>
  <si>
    <t>Registrar proveedor</t>
  </si>
  <si>
    <t>Moderada</t>
  </si>
  <si>
    <t>Emitir cotización</t>
  </si>
  <si>
    <t>Compleja</t>
  </si>
  <si>
    <t>Procesar pedido y actualizar stock</t>
  </si>
  <si>
    <t>Muy compleja / crítica</t>
  </si>
  <si>
    <t>Generar factura con integración externa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</si>
</sst>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10" fontId="0" fillId="0" borderId="0" xfId="0" applyNumberFormat="1"/>
    <xf numFmtId="0" fontId="0" fillId="3" borderId="1" xfId="0" applyFill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0" borderId="2" xfId="1" applyNumberFormat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2" fontId="0" fillId="0" borderId="4" xfId="1" applyNumberFormat="1" applyFon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10" fontId="3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RBLUD BLASCO, GERMAN OSCAR" id="{A3A2150A-134F-442C-9504-87D8BE9298BC}" userId="S::gverblud@ies21.onmicrosoft.com::44bb7d15-e44d-49d9-9046-5745f5318ea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0" dT="2026-06-03T13:39:14.04" personId="{A3A2150A-134F-442C-9504-87D8BE9298BC}" id="{0BEA9393-63B7-4C03-9F54-34A5D462A1DE}">
    <text>Verificar que la suma total de todos los registro es igual a 1.</text>
  </threadedComment>
  <threadedComment ref="H27" dT="2026-06-03T13:39:14.04" personId="{A3A2150A-134F-442C-9504-87D8BE9298BC}" id="{3A160467-D454-4B7B-BFB7-5DE89988FB09}">
    <text>Verificar que la suma total de todos los registro es igual a 1.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zoomScale="90" zoomScaleNormal="90" workbookViewId="0">
      <selection activeCell="H12" sqref="H12:I12"/>
    </sheetView>
  </sheetViews>
  <sheetFormatPr defaultColWidth="8.85546875" defaultRowHeight="14.45"/>
  <cols>
    <col min="1" max="1" width="10.7109375" bestFit="1" customWidth="1"/>
    <col min="2" max="2" width="12.7109375" customWidth="1"/>
    <col min="3" max="3" width="12.28515625" customWidth="1"/>
    <col min="4" max="4" width="14.85546875" bestFit="1" customWidth="1"/>
    <col min="5" max="5" width="9.5703125" bestFit="1" customWidth="1"/>
    <col min="6" max="6" width="14.28515625" customWidth="1"/>
    <col min="7" max="7" width="12.42578125" bestFit="1" customWidth="1"/>
    <col min="8" max="8" width="23" bestFit="1" customWidth="1"/>
    <col min="9" max="9" width="14.140625" bestFit="1" customWidth="1"/>
    <col min="12" max="12" width="32.28515625" bestFit="1" customWidth="1"/>
    <col min="13" max="13" width="41.28515625" bestFit="1" customWidth="1"/>
    <col min="14" max="14" width="25.7109375" customWidth="1"/>
    <col min="15" max="15" width="34" customWidth="1"/>
  </cols>
  <sheetData>
    <row r="1" spans="1:13" ht="15.75">
      <c r="B1" s="30" t="s">
        <v>0</v>
      </c>
      <c r="C1" s="30"/>
      <c r="D1" s="30"/>
    </row>
    <row r="2" spans="1:13" ht="15">
      <c r="B2" s="32" t="s">
        <v>1</v>
      </c>
      <c r="C2" s="32"/>
      <c r="D2" s="32"/>
      <c r="E2" s="32"/>
    </row>
    <row r="3" spans="1:13" ht="45.75">
      <c r="A3" s="22" t="s">
        <v>2</v>
      </c>
      <c r="B3" s="23" t="s">
        <v>3</v>
      </c>
      <c r="C3" s="23" t="s">
        <v>4</v>
      </c>
      <c r="D3" s="23" t="s">
        <v>5</v>
      </c>
      <c r="E3" s="23" t="s">
        <v>6</v>
      </c>
      <c r="F3" s="24" t="s">
        <v>7</v>
      </c>
      <c r="G3" s="22" t="s">
        <v>8</v>
      </c>
      <c r="H3" s="24" t="s">
        <v>9</v>
      </c>
      <c r="I3" s="22" t="s">
        <v>10</v>
      </c>
    </row>
    <row r="4" spans="1:13" ht="15">
      <c r="A4" s="1" t="s">
        <v>11</v>
      </c>
      <c r="B4" s="6">
        <v>0.2</v>
      </c>
      <c r="C4" s="6">
        <v>0.25</v>
      </c>
      <c r="D4" s="6">
        <v>0.5</v>
      </c>
      <c r="E4" s="6">
        <v>0</v>
      </c>
      <c r="F4" s="6">
        <f>SUM(B4:E4)</f>
        <v>0.95</v>
      </c>
      <c r="G4" s="11">
        <v>5</v>
      </c>
      <c r="H4" s="8">
        <f>G4/G10</f>
        <v>0.21739130434782608</v>
      </c>
      <c r="I4" s="7">
        <f>((F4/100)*H4)*100</f>
        <v>0.20652173913043476</v>
      </c>
    </row>
    <row r="5" spans="1:13" ht="15">
      <c r="A5" s="1" t="s">
        <v>12</v>
      </c>
      <c r="B5" s="6">
        <v>0.1</v>
      </c>
      <c r="C5" s="6">
        <v>0</v>
      </c>
      <c r="D5" s="6">
        <v>0</v>
      </c>
      <c r="E5" s="6">
        <v>0</v>
      </c>
      <c r="F5" s="6">
        <f>SUM(B5:E5)</f>
        <v>0.1</v>
      </c>
      <c r="G5" s="11">
        <v>2</v>
      </c>
      <c r="H5" s="8">
        <f>G5/G10</f>
        <v>8.6956521739130432E-2</v>
      </c>
      <c r="I5" s="7">
        <f>((F5/100)*H5)*100</f>
        <v>8.6956521739130436E-3</v>
      </c>
    </row>
    <row r="6" spans="1:13" ht="15">
      <c r="A6" s="1" t="s">
        <v>13</v>
      </c>
      <c r="B6" s="6">
        <v>0.2</v>
      </c>
      <c r="C6" s="6">
        <v>0.25</v>
      </c>
      <c r="D6" s="6">
        <v>0.5</v>
      </c>
      <c r="E6" s="6">
        <v>0.05</v>
      </c>
      <c r="F6" s="6">
        <f>SUM(B6:E6)</f>
        <v>1</v>
      </c>
      <c r="G6" s="11">
        <v>5</v>
      </c>
      <c r="H6" s="8">
        <f>G6/G10</f>
        <v>0.21739130434782608</v>
      </c>
      <c r="I6" s="7">
        <f t="shared" ref="I5:I9" si="0">((F6/100)*H6)*100</f>
        <v>0.21739130434782608</v>
      </c>
    </row>
    <row r="7" spans="1:13" ht="15">
      <c r="A7" s="1" t="s">
        <v>14</v>
      </c>
      <c r="B7" s="6">
        <v>0.2</v>
      </c>
      <c r="C7" s="6">
        <v>0.25</v>
      </c>
      <c r="D7" s="6">
        <v>0.5</v>
      </c>
      <c r="E7" s="6">
        <v>0.05</v>
      </c>
      <c r="F7" s="6">
        <f t="shared" ref="F5:F9" si="1">SUM(B7:E7)</f>
        <v>1</v>
      </c>
      <c r="G7" s="17">
        <v>5</v>
      </c>
      <c r="H7" s="8">
        <f>G7/G10</f>
        <v>0.21739130434782608</v>
      </c>
      <c r="I7" s="7">
        <f t="shared" si="0"/>
        <v>0.21739130434782608</v>
      </c>
    </row>
    <row r="8" spans="1:13" ht="15">
      <c r="A8" s="1" t="s">
        <v>15</v>
      </c>
      <c r="B8" s="6">
        <v>0.2</v>
      </c>
      <c r="C8" s="6">
        <v>0.25</v>
      </c>
      <c r="D8" s="6">
        <v>0.5</v>
      </c>
      <c r="E8" s="6">
        <v>0.05</v>
      </c>
      <c r="F8" s="15">
        <f>SUM(B8:E8)</f>
        <v>1</v>
      </c>
      <c r="G8" s="14">
        <v>3</v>
      </c>
      <c r="H8" s="16">
        <f>G8/G10</f>
        <v>0.13043478260869565</v>
      </c>
      <c r="I8" s="7">
        <f t="shared" si="0"/>
        <v>0.13043478260869565</v>
      </c>
    </row>
    <row r="9" spans="1:13" ht="15">
      <c r="A9" s="1" t="s">
        <v>16</v>
      </c>
      <c r="B9" s="6">
        <v>0</v>
      </c>
      <c r="C9" s="6">
        <v>0</v>
      </c>
      <c r="D9" s="6">
        <v>0</v>
      </c>
      <c r="E9" s="6">
        <v>0</v>
      </c>
      <c r="F9" s="15">
        <f>SUM(B9:E9)</f>
        <v>0</v>
      </c>
      <c r="G9" s="14">
        <v>3</v>
      </c>
      <c r="H9" s="16">
        <f>G9/G10</f>
        <v>0.13043478260869565</v>
      </c>
      <c r="I9" s="7">
        <f>((F9/100)*H9)*100</f>
        <v>0</v>
      </c>
    </row>
    <row r="10" spans="1:13" ht="15">
      <c r="G10" s="19">
        <f>SUM(G4:G9)</f>
        <v>23</v>
      </c>
      <c r="H10" s="20">
        <f>SUM(H4:H9)</f>
        <v>1</v>
      </c>
      <c r="I10" s="9"/>
    </row>
    <row r="11" spans="1:13" ht="15"/>
    <row r="12" spans="1:13" ht="18.75">
      <c r="H12" s="25" t="s">
        <v>17</v>
      </c>
      <c r="I12" s="28">
        <f>SUM(I4:I9)</f>
        <v>0.78043478260869559</v>
      </c>
    </row>
    <row r="13" spans="1:13" ht="15">
      <c r="L13" s="10" t="s">
        <v>18</v>
      </c>
      <c r="M13" s="10" t="s">
        <v>19</v>
      </c>
    </row>
    <row r="14" spans="1:13" ht="15">
      <c r="L14" s="3" t="s">
        <v>20</v>
      </c>
      <c r="M14" s="3" t="s">
        <v>21</v>
      </c>
    </row>
    <row r="15" spans="1:13" ht="15">
      <c r="L15" s="3" t="s">
        <v>22</v>
      </c>
      <c r="M15" s="3" t="s">
        <v>23</v>
      </c>
    </row>
    <row r="16" spans="1:13" ht="15.75">
      <c r="B16" s="31" t="s">
        <v>24</v>
      </c>
      <c r="C16" s="31"/>
      <c r="D16" s="31"/>
      <c r="L16" s="3" t="s">
        <v>25</v>
      </c>
      <c r="M16" s="3" t="s">
        <v>26</v>
      </c>
    </row>
    <row r="17" spans="1:13" ht="15">
      <c r="B17" s="32" t="s">
        <v>1</v>
      </c>
      <c r="C17" s="32"/>
      <c r="D17" s="32"/>
      <c r="E17" s="32"/>
      <c r="L17" s="3" t="s">
        <v>27</v>
      </c>
      <c r="M17" s="3" t="s">
        <v>28</v>
      </c>
    </row>
    <row r="18" spans="1:13" ht="45.75">
      <c r="A18" s="2" t="s">
        <v>29</v>
      </c>
      <c r="B18" s="21" t="s">
        <v>3</v>
      </c>
      <c r="C18" s="21" t="s">
        <v>4</v>
      </c>
      <c r="D18" s="21" t="s">
        <v>5</v>
      </c>
      <c r="E18" s="21" t="s">
        <v>6</v>
      </c>
      <c r="F18" s="4" t="s">
        <v>7</v>
      </c>
      <c r="G18" s="2" t="s">
        <v>8</v>
      </c>
      <c r="H18" s="4" t="s">
        <v>9</v>
      </c>
      <c r="I18" s="2" t="s">
        <v>10</v>
      </c>
    </row>
    <row r="19" spans="1:13" ht="15">
      <c r="A19" s="1" t="s">
        <v>11</v>
      </c>
      <c r="B19" s="6">
        <v>0.2</v>
      </c>
      <c r="C19" s="6">
        <v>0.25</v>
      </c>
      <c r="D19" s="6">
        <v>0.5</v>
      </c>
      <c r="E19" s="6">
        <v>0</v>
      </c>
      <c r="F19" s="6">
        <f>SUM(B19:E19)</f>
        <v>0.95</v>
      </c>
      <c r="G19" s="11">
        <v>5</v>
      </c>
      <c r="H19" s="8">
        <f>G19/G27</f>
        <v>0.21739130434782608</v>
      </c>
      <c r="I19" s="7">
        <f>((F19/100)*H19)*100</f>
        <v>0.20652173913043476</v>
      </c>
      <c r="K19" s="29" t="s">
        <v>8</v>
      </c>
      <c r="L19" s="29"/>
      <c r="M19" s="29"/>
    </row>
    <row r="20" spans="1:13" ht="15">
      <c r="A20" s="1" t="s">
        <v>12</v>
      </c>
      <c r="B20" s="6">
        <v>0.1</v>
      </c>
      <c r="C20" s="6">
        <v>0</v>
      </c>
      <c r="D20" s="6">
        <v>0</v>
      </c>
      <c r="E20" s="6">
        <v>0</v>
      </c>
      <c r="F20" s="6">
        <f>SUM(B20:E20)</f>
        <v>0.1</v>
      </c>
      <c r="G20" s="11">
        <v>2</v>
      </c>
      <c r="H20" s="8">
        <f>G20/G27</f>
        <v>8.6956521739130432E-2</v>
      </c>
      <c r="I20" s="7">
        <f>((F20/100)*H20)*100</f>
        <v>8.6956521739130436E-3</v>
      </c>
      <c r="K20" s="10" t="s">
        <v>30</v>
      </c>
      <c r="L20" s="10" t="s">
        <v>19</v>
      </c>
      <c r="M20" s="10" t="s">
        <v>31</v>
      </c>
    </row>
    <row r="21" spans="1:13" ht="15">
      <c r="A21" s="1" t="s">
        <v>13</v>
      </c>
      <c r="B21" s="6">
        <v>0.2</v>
      </c>
      <c r="C21" s="6">
        <v>0.25</v>
      </c>
      <c r="D21" s="6">
        <v>0.5</v>
      </c>
      <c r="E21" s="6">
        <v>0.05</v>
      </c>
      <c r="F21" s="6">
        <f>SUM(B21:E21)</f>
        <v>1</v>
      </c>
      <c r="G21" s="11">
        <v>5</v>
      </c>
      <c r="H21" s="8">
        <f>G21/G27</f>
        <v>0.21739130434782608</v>
      </c>
      <c r="I21" s="7">
        <f t="shared" ref="I21:I23" si="2">((F21/100)*H21)*100</f>
        <v>0.21739130434782608</v>
      </c>
      <c r="K21" s="5">
        <v>1</v>
      </c>
      <c r="L21" s="3" t="s">
        <v>32</v>
      </c>
      <c r="M21" s="3" t="s">
        <v>33</v>
      </c>
    </row>
    <row r="22" spans="1:13" ht="15">
      <c r="A22" s="1" t="s">
        <v>14</v>
      </c>
      <c r="B22" s="6">
        <v>0.2</v>
      </c>
      <c r="C22" s="6">
        <v>0.25</v>
      </c>
      <c r="D22" s="6">
        <v>0.5</v>
      </c>
      <c r="E22" s="6">
        <v>0.05</v>
      </c>
      <c r="F22" s="6">
        <f t="shared" ref="F22:F25" si="3">SUM(B22:E22)</f>
        <v>1</v>
      </c>
      <c r="G22" s="17">
        <v>5</v>
      </c>
      <c r="H22" s="8">
        <f>G22/G27</f>
        <v>0.21739130434782608</v>
      </c>
      <c r="I22" s="7">
        <f t="shared" si="2"/>
        <v>0.21739130434782608</v>
      </c>
      <c r="K22" s="5">
        <v>2</v>
      </c>
      <c r="L22" s="3" t="s">
        <v>34</v>
      </c>
      <c r="M22" s="3" t="s">
        <v>35</v>
      </c>
    </row>
    <row r="23" spans="1:13" ht="15">
      <c r="A23" s="1" t="s">
        <v>15</v>
      </c>
      <c r="B23" s="6">
        <v>0.2</v>
      </c>
      <c r="C23" s="6">
        <v>0.25</v>
      </c>
      <c r="D23" s="6">
        <v>0.5</v>
      </c>
      <c r="E23" s="6">
        <v>0.05</v>
      </c>
      <c r="F23" s="15">
        <f>SUM(B23:E23)</f>
        <v>1</v>
      </c>
      <c r="G23" s="14">
        <v>3</v>
      </c>
      <c r="H23" s="16">
        <f>G23/G27</f>
        <v>0.13043478260869565</v>
      </c>
      <c r="I23" s="7">
        <f t="shared" si="2"/>
        <v>0.13043478260869565</v>
      </c>
      <c r="K23" s="5">
        <v>3</v>
      </c>
      <c r="L23" s="3" t="s">
        <v>36</v>
      </c>
      <c r="M23" s="3" t="s">
        <v>37</v>
      </c>
    </row>
    <row r="24" spans="1:13" ht="15">
      <c r="A24" s="1" t="s">
        <v>16</v>
      </c>
      <c r="B24" s="6">
        <v>0</v>
      </c>
      <c r="C24" s="6">
        <v>0</v>
      </c>
      <c r="D24" s="6">
        <v>0</v>
      </c>
      <c r="E24" s="6">
        <v>0</v>
      </c>
      <c r="F24" s="15">
        <f>SUM(B24:E24)</f>
        <v>0</v>
      </c>
      <c r="G24" s="14">
        <v>3</v>
      </c>
      <c r="H24" s="16">
        <f>G24/G27</f>
        <v>0.13043478260869565</v>
      </c>
      <c r="I24" s="7">
        <f>((F24/100)*H24)*100</f>
        <v>0</v>
      </c>
      <c r="K24" s="5">
        <v>5</v>
      </c>
      <c r="L24" s="3" t="s">
        <v>38</v>
      </c>
      <c r="M24" s="3" t="s">
        <v>39</v>
      </c>
    </row>
    <row r="25" spans="1:13" ht="15">
      <c r="G25" s="18"/>
      <c r="I25" s="9"/>
      <c r="K25" s="5">
        <v>8</v>
      </c>
      <c r="L25" s="3" t="s">
        <v>40</v>
      </c>
      <c r="M25" s="3" t="s">
        <v>41</v>
      </c>
    </row>
    <row r="26" spans="1:13" ht="15">
      <c r="G26" s="18"/>
    </row>
    <row r="27" spans="1:13" ht="15">
      <c r="G27" s="12">
        <f>SUM(G19:G24)</f>
        <v>23</v>
      </c>
      <c r="H27" s="13">
        <f>SUM(H19:H24)</f>
        <v>1</v>
      </c>
    </row>
    <row r="28" spans="1:13" ht="15">
      <c r="G28" s="18"/>
    </row>
    <row r="29" spans="1:13">
      <c r="G29" s="18"/>
    </row>
    <row r="30" spans="1:13">
      <c r="G30" s="18"/>
    </row>
    <row r="31" spans="1:13">
      <c r="G31" s="18"/>
    </row>
    <row r="32" spans="1:13" ht="18.75">
      <c r="G32" s="18"/>
      <c r="H32" s="26" t="s">
        <v>17</v>
      </c>
      <c r="I32" s="27">
        <f>SUM(I19:I24)</f>
        <v>0.78043478260869559</v>
      </c>
    </row>
    <row r="33" spans="7:7">
      <c r="G33" s="18"/>
    </row>
    <row r="34" spans="7:7">
      <c r="G34" s="18"/>
    </row>
    <row r="35" spans="7:7">
      <c r="G35" s="18"/>
    </row>
    <row r="36" spans="7:7">
      <c r="G36" s="18"/>
    </row>
    <row r="37" spans="7:7">
      <c r="G37" s="18"/>
    </row>
    <row r="38" spans="7:7">
      <c r="G38" s="18"/>
    </row>
    <row r="39" spans="7:7">
      <c r="G39" s="18"/>
    </row>
    <row r="40" spans="7:7">
      <c r="G40" s="18"/>
    </row>
    <row r="41" spans="7:7">
      <c r="G41" s="18"/>
    </row>
    <row r="42" spans="7:7">
      <c r="G42" s="18"/>
    </row>
    <row r="43" spans="7:7">
      <c r="G43" s="18"/>
    </row>
    <row r="44" spans="7:7" ht="15">
      <c r="G44" s="18"/>
    </row>
    <row r="45" spans="7:7" ht="15"/>
    <row r="46" spans="7:7" ht="15"/>
    <row r="47" spans="7:7" ht="15"/>
  </sheetData>
  <mergeCells count="5">
    <mergeCell ref="K19:M19"/>
    <mergeCell ref="B1:D1"/>
    <mergeCell ref="B16:D16"/>
    <mergeCell ref="B2:E2"/>
    <mergeCell ref="B17:E1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Home</dc:creator>
  <cp:keywords/>
  <dc:description/>
  <cp:lastModifiedBy/>
  <cp:revision/>
  <dcterms:created xsi:type="dcterms:W3CDTF">2015-06-05T18:19:34Z</dcterms:created>
  <dcterms:modified xsi:type="dcterms:W3CDTF">2026-07-01T18:31:57Z</dcterms:modified>
  <cp:category/>
  <cp:contentStatus/>
</cp:coreProperties>
</file>