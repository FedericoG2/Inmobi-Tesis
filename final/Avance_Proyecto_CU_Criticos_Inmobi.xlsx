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filterPrivacy="1"/>
  <xr:revisionPtr revIDLastSave="0" documentId="13_ncr:1_{D4252D56-3C6C-4683-9F91-79A858749A6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Avance" sheetId="1" r:id="rId1"/>
    <sheet name="CU Crítico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6" i="1" l="1"/>
  <c r="H15" i="1" s="1"/>
  <c r="F15" i="1"/>
  <c r="H14" i="1"/>
  <c r="F14" i="1"/>
  <c r="I14" i="1" s="1"/>
  <c r="F13" i="1"/>
  <c r="F12" i="1"/>
  <c r="F11" i="1"/>
  <c r="F10" i="1"/>
  <c r="F9" i="1"/>
  <c r="F8" i="1"/>
  <c r="F7" i="1"/>
  <c r="F6" i="1"/>
  <c r="F5" i="1"/>
  <c r="F4" i="1"/>
  <c r="I12" i="1" l="1"/>
  <c r="I4" i="1"/>
  <c r="I15" i="1"/>
  <c r="H7" i="1"/>
  <c r="I7" i="1" s="1"/>
  <c r="H8" i="1"/>
  <c r="I8" i="1" s="1"/>
  <c r="H13" i="1"/>
  <c r="I13" i="1" s="1"/>
  <c r="H11" i="1"/>
  <c r="I11" i="1" s="1"/>
  <c r="H4" i="1"/>
  <c r="H12" i="1"/>
  <c r="H5" i="1"/>
  <c r="I5" i="1" s="1"/>
  <c r="H9" i="1"/>
  <c r="I9" i="1" s="1"/>
  <c r="H6" i="1"/>
  <c r="I6" i="1" s="1"/>
  <c r="H10" i="1"/>
  <c r="I10" i="1" s="1"/>
  <c r="I18" i="1" l="1"/>
  <c r="H16" i="1"/>
</calcChain>
</file>

<file path=xl/sharedStrings.xml><?xml version="1.0" encoding="utf-8"?>
<sst xmlns="http://schemas.openxmlformats.org/spreadsheetml/2006/main" count="100" uniqueCount="91">
  <si>
    <t>Avance Proyecto (regularización)</t>
  </si>
  <si>
    <t>Etapas</t>
  </si>
  <si>
    <t>CU Críticos</t>
  </si>
  <si>
    <t>Analisis 
(20%)</t>
  </si>
  <si>
    <t>Diseño 
(25%)</t>
  </si>
  <si>
    <t>Implementación 
(50%)</t>
  </si>
  <si>
    <t>Validación 
(5%)</t>
  </si>
  <si>
    <t>% Avance (sum Etapas)</t>
  </si>
  <si>
    <t>Complejidad</t>
  </si>
  <si>
    <t>Peso Relativo (Sum total Complejidad / Complejidad ind.)</t>
  </si>
  <si>
    <t>% Avance Real</t>
  </si>
  <si>
    <t>CU-017</t>
  </si>
  <si>
    <t>Etapas/Estado del CU</t>
  </si>
  <si>
    <t>Descripción</t>
  </si>
  <si>
    <t>CU-011</t>
  </si>
  <si>
    <t>Análisis completado</t>
  </si>
  <si>
    <t>Caso de uso modelado y validado</t>
  </si>
  <si>
    <t>CU-022</t>
  </si>
  <si>
    <t>Diseño completado</t>
  </si>
  <si>
    <t>Clases, secuencia, BD definidas</t>
  </si>
  <si>
    <t>CU-028</t>
  </si>
  <si>
    <t>Implementado</t>
  </si>
  <si>
    <t>Código funcional y probado</t>
  </si>
  <si>
    <t>CU-029</t>
  </si>
  <si>
    <t>Validado (pruebas exitosas)</t>
  </si>
  <si>
    <t>CU completo y validado con usuario/docente</t>
  </si>
  <si>
    <t>CU-039</t>
  </si>
  <si>
    <t>CU-032</t>
  </si>
  <si>
    <t>CU-033</t>
  </si>
  <si>
    <t>Nivel</t>
  </si>
  <si>
    <t>Ejemplo</t>
  </si>
  <si>
    <t>CU-040</t>
  </si>
  <si>
    <t>Muy simple (consulta, ABM básico)</t>
  </si>
  <si>
    <t>Consultar stock</t>
  </si>
  <si>
    <t>CU-034</t>
  </si>
  <si>
    <t>Simple con lógica media</t>
  </si>
  <si>
    <t>Registrar proveedor / inquilino / propiedad</t>
  </si>
  <si>
    <t>CU-031</t>
  </si>
  <si>
    <t>Moderada</t>
  </si>
  <si>
    <t>Emitir cotización</t>
  </si>
  <si>
    <t>CU-047</t>
  </si>
  <si>
    <t>Compleja</t>
  </si>
  <si>
    <t>Procesar pedido y actualizar stock</t>
  </si>
  <si>
    <t>Muy compleja / crítica</t>
  </si>
  <si>
    <t>Confirmar aumento con integración externa</t>
  </si>
  <si>
    <t>% Avance Proyecto</t>
  </si>
  <si>
    <t>N° CU</t>
  </si>
  <si>
    <t>Nombre del CU</t>
  </si>
  <si>
    <t>Módulo</t>
  </si>
  <si>
    <t>Por qué es crítico</t>
  </si>
  <si>
    <t>Crear inquilino</t>
  </si>
  <si>
    <t>Inquilinos</t>
  </si>
  <si>
    <t>Crear propiedad</t>
  </si>
  <si>
    <t>Propiedades</t>
  </si>
  <si>
    <t>Registrar contrato</t>
  </si>
  <si>
    <t>Contratos</t>
  </si>
  <si>
    <t>Consultar inquilino</t>
  </si>
  <si>
    <t>Include de Registrar contrato. Garantiza inquilino válido al armar el contrato.</t>
  </si>
  <si>
    <t>Consultar propiedad disponible</t>
  </si>
  <si>
    <t>Actualizar índices y montos</t>
  </si>
  <si>
    <t>Aumentos</t>
  </si>
  <si>
    <t>Consultar detalle del cálculo</t>
  </si>
  <si>
    <t>Control de calidad previo a confirmar: valida fórmula, período e índices.</t>
  </si>
  <si>
    <t>Confirmar aumento</t>
  </si>
  <si>
    <t>Aplicar aumentos programados</t>
  </si>
  <si>
    <t>Deshacer aumento</t>
  </si>
  <si>
    <t>Visualizar aumentos a confirmar (seguimiento)</t>
  </si>
  <si>
    <t>Gestionar reclamo (seguimiento)</t>
  </si>
  <si>
    <t>Reclamos</t>
  </si>
  <si>
    <t>CU-017 - Crear Inquilino</t>
  </si>
  <si>
    <t>CU-011 - Crear Propiedad</t>
  </si>
  <si>
    <t>CU-022 - Registrar Contrato</t>
  </si>
  <si>
    <t>CU-028 - Consultar Inquilino</t>
  </si>
  <si>
    <t>CU-039 - Actualizar índices y montos</t>
  </si>
  <si>
    <t>CU-032 - Consultar detalle del cálculo</t>
  </si>
  <si>
    <t>CU-040 - Aplicar aumentos programados</t>
  </si>
  <si>
    <t>CU-031 - Visualizar aumentos a confirmar (seguimiento)</t>
  </si>
  <si>
    <t>CU-029 - Consultar Propiedad disponible</t>
  </si>
  <si>
    <t>CU-033 - Confirmar Aumento</t>
  </si>
  <si>
    <t>CU-034 - Deshacer Aumento</t>
  </si>
  <si>
    <t>CU-047 - Gestionar Reclamo (seguimiento)</t>
  </si>
  <si>
    <t xml:space="preserve">Dato base que habilita un contrato. </t>
  </si>
  <si>
    <t>Dato base imprescindible para un contrato.</t>
  </si>
  <si>
    <t>Lo mas importante del sistema, sin contrato activo no hay aumentos ni comprobantes ni practicamente nada.</t>
  </si>
  <si>
    <t>Include de Registrar contrato. Garantiza propiedad disponible válida y que no tenga asociado previamente un contrato</t>
  </si>
  <si>
    <t>Todo el cálculo depende de índices IPC/ICL oficiales, se consultan de una API y se guardan en una tabla de la base de datos.</t>
  </si>
  <si>
    <t>Caso más crítico: materializa el aumento,  y genera el comprobante con el detalle del calculo.</t>
  </si>
  <si>
    <t>Proceso automático mediante un cron en la base de datos o al consultar el modulo.</t>
  </si>
  <si>
    <t>Ante error en confirmación; restaura a la versión anterior del aumento.</t>
  </si>
  <si>
    <t xml:space="preserve">Evita que aumentos del período queden sin gestionar. </t>
  </si>
  <si>
    <t>Trazabilidad del seguimiento de un reclamo.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</si>
</sst>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name val="Calibri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92D05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 vertical="center" wrapText="1"/>
    </xf>
    <xf numFmtId="1" fontId="0" fillId="0" borderId="1" xfId="0" applyNumberFormat="1" applyBorder="1" applyAlignment="1">
      <alignment horizontal="center" vertical="center" wrapText="1"/>
    </xf>
    <xf numFmtId="2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1" fontId="2" fillId="0" borderId="1" xfId="0" applyNumberFormat="1" applyFont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10" fontId="1" fillId="3" borderId="1" xfId="0" applyNumberFormat="1" applyFont="1" applyFill="1" applyBorder="1" applyAlignment="1">
      <alignment vertical="center" wrapText="1"/>
    </xf>
    <xf numFmtId="0" fontId="1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8"/>
  <sheetViews>
    <sheetView tabSelected="1" topLeftCell="E1" workbookViewId="0">
      <pane ySplit="3" topLeftCell="A10" activePane="bottomLeft" state="frozen"/>
      <selection pane="bottomLeft" activeCell="D16" sqref="D16"/>
    </sheetView>
  </sheetViews>
  <sheetFormatPr baseColWidth="10" defaultColWidth="9.140625" defaultRowHeight="15" x14ac:dyDescent="0.25"/>
  <cols>
    <col min="1" max="1" width="28.85546875" customWidth="1"/>
    <col min="2" max="3" width="11" customWidth="1"/>
    <col min="4" max="4" width="16" customWidth="1"/>
    <col min="5" max="5" width="11" customWidth="1"/>
    <col min="6" max="6" width="18" customWidth="1"/>
    <col min="7" max="7" width="13" customWidth="1"/>
    <col min="8" max="8" width="22" customWidth="1"/>
    <col min="9" max="9" width="14" customWidth="1"/>
    <col min="11" max="11" width="28" customWidth="1"/>
    <col min="12" max="12" width="34" customWidth="1"/>
    <col min="13" max="13" width="36" customWidth="1"/>
  </cols>
  <sheetData>
    <row r="1" spans="1:13" ht="15.75" x14ac:dyDescent="0.25">
      <c r="B1" s="9" t="s">
        <v>0</v>
      </c>
      <c r="C1" s="9"/>
      <c r="D1" s="9"/>
    </row>
    <row r="2" spans="1:13" x14ac:dyDescent="0.25">
      <c r="B2" s="12" t="s">
        <v>1</v>
      </c>
      <c r="C2" s="12"/>
      <c r="D2" s="12"/>
      <c r="E2" s="12"/>
    </row>
    <row r="3" spans="1:13" ht="39.950000000000003" customHeight="1" x14ac:dyDescent="0.2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</row>
    <row r="4" spans="1:13" x14ac:dyDescent="0.25">
      <c r="A4" s="11" t="s">
        <v>69</v>
      </c>
      <c r="B4" s="2">
        <v>0.2</v>
      </c>
      <c r="C4" s="2">
        <v>0.15</v>
      </c>
      <c r="D4" s="2">
        <v>0.4</v>
      </c>
      <c r="E4" s="2">
        <v>0</v>
      </c>
      <c r="F4" s="2">
        <f t="shared" ref="F4:F15" si="0">SUM(B4:E4)</f>
        <v>0.75</v>
      </c>
      <c r="G4" s="3">
        <v>2</v>
      </c>
      <c r="H4" s="4">
        <f t="shared" ref="H4:H15" si="1">G4/G$16</f>
        <v>4.5454545454545456E-2</v>
      </c>
      <c r="I4" s="4">
        <f t="shared" ref="I4:I15" si="2">((F4/100)*H4)*100</f>
        <v>3.4090909090909088E-2</v>
      </c>
      <c r="K4" s="1" t="s">
        <v>12</v>
      </c>
      <c r="L4" s="1" t="s">
        <v>13</v>
      </c>
    </row>
    <row r="5" spans="1:13" x14ac:dyDescent="0.25">
      <c r="A5" s="11" t="s">
        <v>70</v>
      </c>
      <c r="B5" s="2">
        <v>0.2</v>
      </c>
      <c r="C5" s="2">
        <v>0.15</v>
      </c>
      <c r="D5" s="2">
        <v>0.4</v>
      </c>
      <c r="E5" s="2">
        <v>0</v>
      </c>
      <c r="F5" s="2">
        <f t="shared" si="0"/>
        <v>0.75</v>
      </c>
      <c r="G5" s="3">
        <v>2</v>
      </c>
      <c r="H5" s="4">
        <f t="shared" si="1"/>
        <v>4.5454545454545456E-2</v>
      </c>
      <c r="I5" s="4">
        <f t="shared" si="2"/>
        <v>3.4090909090909088E-2</v>
      </c>
      <c r="K5" s="5" t="s">
        <v>15</v>
      </c>
      <c r="L5" s="5" t="s">
        <v>16</v>
      </c>
    </row>
    <row r="6" spans="1:13" x14ac:dyDescent="0.25">
      <c r="A6" s="11" t="s">
        <v>71</v>
      </c>
      <c r="B6" s="2">
        <v>0.2</v>
      </c>
      <c r="C6" s="2">
        <v>0.2</v>
      </c>
      <c r="D6" s="2">
        <v>0.45</v>
      </c>
      <c r="E6" s="2">
        <v>0</v>
      </c>
      <c r="F6" s="2">
        <f t="shared" si="0"/>
        <v>0.85000000000000009</v>
      </c>
      <c r="G6" s="3">
        <v>5</v>
      </c>
      <c r="H6" s="4">
        <f t="shared" si="1"/>
        <v>0.11363636363636363</v>
      </c>
      <c r="I6" s="4">
        <f t="shared" si="2"/>
        <v>9.6590909090909088E-2</v>
      </c>
      <c r="K6" s="5" t="s">
        <v>18</v>
      </c>
      <c r="L6" s="5" t="s">
        <v>19</v>
      </c>
    </row>
    <row r="7" spans="1:13" x14ac:dyDescent="0.25">
      <c r="A7" s="11" t="s">
        <v>72</v>
      </c>
      <c r="B7" s="2">
        <v>0.2</v>
      </c>
      <c r="C7" s="2">
        <v>0.2</v>
      </c>
      <c r="D7" s="2">
        <v>0.4</v>
      </c>
      <c r="E7" s="2">
        <v>0</v>
      </c>
      <c r="F7" s="2">
        <f t="shared" si="0"/>
        <v>0.8</v>
      </c>
      <c r="G7" s="3">
        <v>3</v>
      </c>
      <c r="H7" s="4">
        <f t="shared" si="1"/>
        <v>6.8181818181818177E-2</v>
      </c>
      <c r="I7" s="4">
        <f t="shared" si="2"/>
        <v>5.454545454545455E-2</v>
      </c>
      <c r="K7" s="5" t="s">
        <v>21</v>
      </c>
      <c r="L7" s="5" t="s">
        <v>22</v>
      </c>
    </row>
    <row r="8" spans="1:13" ht="30" x14ac:dyDescent="0.25">
      <c r="A8" s="11" t="s">
        <v>77</v>
      </c>
      <c r="B8" s="2">
        <v>0.2</v>
      </c>
      <c r="C8" s="2">
        <v>0.2</v>
      </c>
      <c r="D8" s="2">
        <v>0.4</v>
      </c>
      <c r="E8" s="2">
        <v>0</v>
      </c>
      <c r="F8" s="2">
        <f t="shared" si="0"/>
        <v>0.8</v>
      </c>
      <c r="G8" s="3">
        <v>3</v>
      </c>
      <c r="H8" s="4">
        <f t="shared" si="1"/>
        <v>6.8181818181818177E-2</v>
      </c>
      <c r="I8" s="4">
        <f t="shared" si="2"/>
        <v>5.454545454545455E-2</v>
      </c>
      <c r="K8" s="5" t="s">
        <v>24</v>
      </c>
      <c r="L8" s="5" t="s">
        <v>25</v>
      </c>
    </row>
    <row r="9" spans="1:13" ht="30" x14ac:dyDescent="0.25">
      <c r="A9" s="11" t="s">
        <v>73</v>
      </c>
      <c r="B9" s="2">
        <v>0.2</v>
      </c>
      <c r="C9" s="2">
        <v>0.2</v>
      </c>
      <c r="D9" s="2">
        <v>0.4</v>
      </c>
      <c r="E9" s="2">
        <v>0</v>
      </c>
      <c r="F9" s="2">
        <f t="shared" si="0"/>
        <v>0.8</v>
      </c>
      <c r="G9" s="3">
        <v>5</v>
      </c>
      <c r="H9" s="4">
        <f t="shared" si="1"/>
        <v>0.11363636363636363</v>
      </c>
      <c r="I9" s="4">
        <f t="shared" si="2"/>
        <v>9.0909090909090912E-2</v>
      </c>
    </row>
    <row r="10" spans="1:13" ht="30" x14ac:dyDescent="0.25">
      <c r="A10" s="11" t="s">
        <v>74</v>
      </c>
      <c r="B10" s="2">
        <v>0.2</v>
      </c>
      <c r="C10" s="2">
        <v>0.2</v>
      </c>
      <c r="D10" s="2">
        <v>0.4</v>
      </c>
      <c r="E10" s="2">
        <v>0</v>
      </c>
      <c r="F10" s="2">
        <f t="shared" si="0"/>
        <v>0.8</v>
      </c>
      <c r="G10" s="3">
        <v>3</v>
      </c>
      <c r="H10" s="4">
        <f t="shared" si="1"/>
        <v>6.8181818181818177E-2</v>
      </c>
      <c r="I10" s="4">
        <f t="shared" si="2"/>
        <v>5.454545454545455E-2</v>
      </c>
      <c r="K10" s="10" t="s">
        <v>8</v>
      </c>
      <c r="L10" s="10"/>
      <c r="M10" s="10"/>
    </row>
    <row r="11" spans="1:13" x14ac:dyDescent="0.25">
      <c r="A11" s="11" t="s">
        <v>78</v>
      </c>
      <c r="B11" s="2">
        <v>0.2</v>
      </c>
      <c r="C11" s="2">
        <v>0.2</v>
      </c>
      <c r="D11" s="2">
        <v>0.4</v>
      </c>
      <c r="E11" s="2">
        <v>0</v>
      </c>
      <c r="F11" s="2">
        <f t="shared" si="0"/>
        <v>0.8</v>
      </c>
      <c r="G11" s="3">
        <v>5</v>
      </c>
      <c r="H11" s="4">
        <f t="shared" si="1"/>
        <v>0.11363636363636363</v>
      </c>
      <c r="I11" s="4">
        <f t="shared" si="2"/>
        <v>9.0909090909090912E-2</v>
      </c>
      <c r="K11" s="1" t="s">
        <v>29</v>
      </c>
      <c r="L11" s="1" t="s">
        <v>13</v>
      </c>
      <c r="M11" s="1" t="s">
        <v>30</v>
      </c>
    </row>
    <row r="12" spans="1:13" ht="30" x14ac:dyDescent="0.25">
      <c r="A12" s="11" t="s">
        <v>75</v>
      </c>
      <c r="B12" s="2">
        <v>0.2</v>
      </c>
      <c r="C12" s="2">
        <v>0.15</v>
      </c>
      <c r="D12" s="2">
        <v>0.4</v>
      </c>
      <c r="E12" s="2">
        <v>0</v>
      </c>
      <c r="F12" s="2">
        <f t="shared" si="0"/>
        <v>0.75</v>
      </c>
      <c r="G12" s="3">
        <v>5</v>
      </c>
      <c r="H12" s="4">
        <f t="shared" si="1"/>
        <v>0.11363636363636363</v>
      </c>
      <c r="I12" s="4">
        <f t="shared" si="2"/>
        <v>8.5227272727272721E-2</v>
      </c>
      <c r="K12" s="5">
        <v>1</v>
      </c>
      <c r="L12" s="5" t="s">
        <v>32</v>
      </c>
      <c r="M12" s="5" t="s">
        <v>33</v>
      </c>
    </row>
    <row r="13" spans="1:13" ht="30" x14ac:dyDescent="0.25">
      <c r="A13" s="11" t="s">
        <v>79</v>
      </c>
      <c r="B13" s="2">
        <v>0.2</v>
      </c>
      <c r="C13" s="2">
        <v>0.2</v>
      </c>
      <c r="D13" s="2">
        <v>0.45</v>
      </c>
      <c r="E13" s="2">
        <v>0</v>
      </c>
      <c r="F13" s="2">
        <f t="shared" si="0"/>
        <v>0.85000000000000009</v>
      </c>
      <c r="G13" s="3">
        <v>5</v>
      </c>
      <c r="H13" s="4">
        <f t="shared" si="1"/>
        <v>0.11363636363636363</v>
      </c>
      <c r="I13" s="4">
        <f t="shared" si="2"/>
        <v>9.6590909090909088E-2</v>
      </c>
      <c r="K13" s="5">
        <v>2</v>
      </c>
      <c r="L13" s="5" t="s">
        <v>35</v>
      </c>
      <c r="M13" s="5" t="s">
        <v>36</v>
      </c>
    </row>
    <row r="14" spans="1:13" ht="30" x14ac:dyDescent="0.25">
      <c r="A14" s="11" t="s">
        <v>76</v>
      </c>
      <c r="B14" s="2">
        <v>0.2</v>
      </c>
      <c r="C14" s="2">
        <v>0.2</v>
      </c>
      <c r="D14" s="2">
        <v>0.45</v>
      </c>
      <c r="E14" s="2">
        <v>0</v>
      </c>
      <c r="F14" s="2">
        <f t="shared" si="0"/>
        <v>0.85000000000000009</v>
      </c>
      <c r="G14" s="3">
        <v>3</v>
      </c>
      <c r="H14" s="4">
        <f t="shared" si="1"/>
        <v>6.8181818181818177E-2</v>
      </c>
      <c r="I14" s="4">
        <f t="shared" si="2"/>
        <v>5.7954545454545453E-2</v>
      </c>
      <c r="K14" s="5">
        <v>3</v>
      </c>
      <c r="L14" s="5" t="s">
        <v>38</v>
      </c>
      <c r="M14" s="5" t="s">
        <v>39</v>
      </c>
    </row>
    <row r="15" spans="1:13" ht="30" x14ac:dyDescent="0.25">
      <c r="A15" s="11" t="s">
        <v>80</v>
      </c>
      <c r="B15" s="2">
        <v>0.2</v>
      </c>
      <c r="C15" s="2">
        <v>0.2</v>
      </c>
      <c r="D15" s="2">
        <v>0.4</v>
      </c>
      <c r="E15" s="2">
        <v>0</v>
      </c>
      <c r="F15" s="2">
        <f t="shared" si="0"/>
        <v>0.8</v>
      </c>
      <c r="G15" s="3">
        <v>3</v>
      </c>
      <c r="H15" s="4">
        <f t="shared" si="1"/>
        <v>6.8181818181818177E-2</v>
      </c>
      <c r="I15" s="4">
        <f t="shared" si="2"/>
        <v>5.454545454545455E-2</v>
      </c>
      <c r="K15" s="5">
        <v>5</v>
      </c>
      <c r="L15" s="5" t="s">
        <v>41</v>
      </c>
      <c r="M15" s="5" t="s">
        <v>42</v>
      </c>
    </row>
    <row r="16" spans="1:13" ht="30" x14ac:dyDescent="0.25">
      <c r="G16" s="6">
        <f>SUM(G4:G15)</f>
        <v>44</v>
      </c>
      <c r="H16" s="6">
        <f>SUM(H4:H15)</f>
        <v>1</v>
      </c>
      <c r="K16" s="5">
        <v>8</v>
      </c>
      <c r="L16" s="5" t="s">
        <v>43</v>
      </c>
      <c r="M16" s="5" t="s">
        <v>44</v>
      </c>
    </row>
    <row r="18" spans="8:9" ht="15.75" x14ac:dyDescent="0.25">
      <c r="H18" s="7" t="s">
        <v>45</v>
      </c>
      <c r="I18" s="8">
        <f>SUM(I4:I15)</f>
        <v>0.80454545454545456</v>
      </c>
    </row>
  </sheetData>
  <mergeCells count="3">
    <mergeCell ref="B1:D1"/>
    <mergeCell ref="B2:E2"/>
    <mergeCell ref="K10:M10"/>
  </mergeCell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3"/>
  <sheetViews>
    <sheetView workbookViewId="0">
      <selection activeCell="D14" sqref="D14"/>
    </sheetView>
  </sheetViews>
  <sheetFormatPr baseColWidth="10" defaultColWidth="9.140625" defaultRowHeight="15" x14ac:dyDescent="0.25"/>
  <cols>
    <col min="1" max="1" width="10" customWidth="1"/>
    <col min="2" max="2" width="44" customWidth="1"/>
    <col min="3" max="3" width="14" customWidth="1"/>
    <col min="4" max="4" width="72" customWidth="1"/>
  </cols>
  <sheetData>
    <row r="1" spans="1:4" x14ac:dyDescent="0.25">
      <c r="A1" s="1" t="s">
        <v>46</v>
      </c>
      <c r="B1" s="1" t="s">
        <v>47</v>
      </c>
      <c r="C1" s="1" t="s">
        <v>48</v>
      </c>
      <c r="D1" s="1" t="s">
        <v>49</v>
      </c>
    </row>
    <row r="2" spans="1:4" x14ac:dyDescent="0.25">
      <c r="A2" s="5" t="s">
        <v>11</v>
      </c>
      <c r="B2" s="5" t="s">
        <v>50</v>
      </c>
      <c r="C2" s="5" t="s">
        <v>51</v>
      </c>
      <c r="D2" s="5" t="s">
        <v>81</v>
      </c>
    </row>
    <row r="3" spans="1:4" x14ac:dyDescent="0.25">
      <c r="A3" s="5" t="s">
        <v>14</v>
      </c>
      <c r="B3" s="5" t="s">
        <v>52</v>
      </c>
      <c r="C3" s="5" t="s">
        <v>53</v>
      </c>
      <c r="D3" s="5" t="s">
        <v>82</v>
      </c>
    </row>
    <row r="4" spans="1:4" ht="30" x14ac:dyDescent="0.25">
      <c r="A4" s="5" t="s">
        <v>17</v>
      </c>
      <c r="B4" s="5" t="s">
        <v>54</v>
      </c>
      <c r="C4" s="5" t="s">
        <v>55</v>
      </c>
      <c r="D4" s="5" t="s">
        <v>83</v>
      </c>
    </row>
    <row r="5" spans="1:4" x14ac:dyDescent="0.25">
      <c r="A5" s="5" t="s">
        <v>20</v>
      </c>
      <c r="B5" s="5" t="s">
        <v>56</v>
      </c>
      <c r="C5" s="5" t="s">
        <v>55</v>
      </c>
      <c r="D5" s="5" t="s">
        <v>57</v>
      </c>
    </row>
    <row r="6" spans="1:4" ht="30" x14ac:dyDescent="0.25">
      <c r="A6" s="5" t="s">
        <v>23</v>
      </c>
      <c r="B6" s="5" t="s">
        <v>58</v>
      </c>
      <c r="C6" s="5" t="s">
        <v>55</v>
      </c>
      <c r="D6" s="5" t="s">
        <v>84</v>
      </c>
    </row>
    <row r="7" spans="1:4" ht="30" x14ac:dyDescent="0.25">
      <c r="A7" s="5" t="s">
        <v>26</v>
      </c>
      <c r="B7" s="5" t="s">
        <v>59</v>
      </c>
      <c r="C7" s="5" t="s">
        <v>60</v>
      </c>
      <c r="D7" s="5" t="s">
        <v>85</v>
      </c>
    </row>
    <row r="8" spans="1:4" x14ac:dyDescent="0.25">
      <c r="A8" s="5" t="s">
        <v>27</v>
      </c>
      <c r="B8" s="5" t="s">
        <v>61</v>
      </c>
      <c r="C8" s="5" t="s">
        <v>60</v>
      </c>
      <c r="D8" s="5" t="s">
        <v>62</v>
      </c>
    </row>
    <row r="9" spans="1:4" ht="30" x14ac:dyDescent="0.25">
      <c r="A9" s="5" t="s">
        <v>28</v>
      </c>
      <c r="B9" s="5" t="s">
        <v>63</v>
      </c>
      <c r="C9" s="5" t="s">
        <v>60</v>
      </c>
      <c r="D9" s="5" t="s">
        <v>86</v>
      </c>
    </row>
    <row r="10" spans="1:4" ht="30" x14ac:dyDescent="0.25">
      <c r="A10" s="5" t="s">
        <v>31</v>
      </c>
      <c r="B10" s="5" t="s">
        <v>64</v>
      </c>
      <c r="C10" s="5" t="s">
        <v>60</v>
      </c>
      <c r="D10" s="5" t="s">
        <v>87</v>
      </c>
    </row>
    <row r="11" spans="1:4" x14ac:dyDescent="0.25">
      <c r="A11" s="5" t="s">
        <v>34</v>
      </c>
      <c r="B11" s="5" t="s">
        <v>65</v>
      </c>
      <c r="C11" s="5" t="s">
        <v>60</v>
      </c>
      <c r="D11" s="5" t="s">
        <v>88</v>
      </c>
    </row>
    <row r="12" spans="1:4" x14ac:dyDescent="0.25">
      <c r="A12" s="5" t="s">
        <v>37</v>
      </c>
      <c r="B12" s="5" t="s">
        <v>66</v>
      </c>
      <c r="C12" s="5" t="s">
        <v>60</v>
      </c>
      <c r="D12" s="5" t="s">
        <v>89</v>
      </c>
    </row>
    <row r="13" spans="1:4" x14ac:dyDescent="0.25">
      <c r="A13" s="5" t="s">
        <v>40</v>
      </c>
      <c r="B13" s="5" t="s">
        <v>67</v>
      </c>
      <c r="C13" s="5" t="s">
        <v>68</v>
      </c>
      <c r="D13" s="5" t="s">
        <v>90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Avance</vt:lpstr>
      <vt:lpstr>CU Críticos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2026-07-01T18:48:56Z</dcterms:created>
  <dcterms:modified xsi:type="dcterms:W3CDTF">2026-07-01T19:13:35Z</dcterms:modified>
  <cp:category/>
</cp:coreProperties>
</file>